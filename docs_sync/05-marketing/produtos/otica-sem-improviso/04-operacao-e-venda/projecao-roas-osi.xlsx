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Grupo Mello/Marketing_e_Vendas/digiai/otica_sem_improviso/engenharia de funil/"/>
    </mc:Choice>
  </mc:AlternateContent>
  <xr:revisionPtr revIDLastSave="11" documentId="11_6D7E9777235D744B3068D5517A5F5EFC16391C91" xr6:coauthVersionLast="47" xr6:coauthVersionMax="47" xr10:uidLastSave="{CA7562F6-C409-41F5-A8EF-86331E8A1C70}"/>
  <bookViews>
    <workbookView xWindow="-120" yWindow="-120" windowWidth="29040" windowHeight="15720" xr2:uid="{00000000-000D-0000-FFFF-FFFF00000000}"/>
  </bookViews>
  <sheets>
    <sheet name="Dashboard" sheetId="1" r:id="rId1"/>
    <sheet name="Premissas" sheetId="2" r:id="rId2"/>
    <sheet name="Modelo_ROAS" sheetId="3" r:id="rId3"/>
    <sheet name="Teste_ABO" sheetId="4" r:id="rId4"/>
    <sheet name="Recuperaca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5" l="1"/>
  <c r="B8" i="5"/>
  <c r="C8" i="5" s="1"/>
  <c r="D8" i="5" s="1"/>
  <c r="F8" i="5" s="1"/>
  <c r="E7" i="5"/>
  <c r="E6" i="5"/>
  <c r="E5" i="5"/>
  <c r="E4" i="5"/>
  <c r="I8" i="4"/>
  <c r="D8" i="4"/>
  <c r="C8" i="4"/>
  <c r="E8" i="4" s="1"/>
  <c r="I7" i="4"/>
  <c r="E7" i="4"/>
  <c r="D7" i="4"/>
  <c r="C7" i="4"/>
  <c r="I6" i="4"/>
  <c r="D6" i="4"/>
  <c r="C6" i="4"/>
  <c r="E6" i="4" s="1"/>
  <c r="I5" i="4"/>
  <c r="E5" i="4"/>
  <c r="D5" i="4"/>
  <c r="C5" i="4"/>
  <c r="I4" i="4"/>
  <c r="D4" i="4"/>
  <c r="C4" i="4"/>
  <c r="E4" i="4" s="1"/>
  <c r="C8" i="3"/>
  <c r="D8" i="3" s="1"/>
  <c r="B8" i="3"/>
  <c r="B7" i="3"/>
  <c r="C7" i="3" s="1"/>
  <c r="C6" i="3"/>
  <c r="D6" i="3" s="1"/>
  <c r="B6" i="3"/>
  <c r="C5" i="3"/>
  <c r="B5" i="5" s="1"/>
  <c r="C5" i="5" s="1"/>
  <c r="D5" i="5" s="1"/>
  <c r="F5" i="5" s="1"/>
  <c r="B5" i="3"/>
  <c r="C4" i="3"/>
  <c r="B4" i="5" s="1"/>
  <c r="C4" i="5" s="1"/>
  <c r="D4" i="5" s="1"/>
  <c r="F4" i="5" s="1"/>
  <c r="B4" i="3"/>
  <c r="B23" i="2"/>
  <c r="G8" i="5" s="1"/>
  <c r="A23" i="1"/>
  <c r="A22" i="1"/>
  <c r="A21" i="1"/>
  <c r="A20" i="1"/>
  <c r="A19" i="1"/>
  <c r="B15" i="1"/>
  <c r="A15" i="1"/>
  <c r="B14" i="1"/>
  <c r="A14" i="1"/>
  <c r="B13" i="1"/>
  <c r="A13" i="1"/>
  <c r="B12" i="1"/>
  <c r="A12" i="1"/>
  <c r="B11" i="1"/>
  <c r="A11" i="1"/>
  <c r="B6" i="1"/>
  <c r="G4" i="5" l="1"/>
  <c r="G6" i="3"/>
  <c r="G5" i="5"/>
  <c r="H4" i="5"/>
  <c r="G7" i="3"/>
  <c r="G4" i="3"/>
  <c r="G7" i="5"/>
  <c r="H5" i="5"/>
  <c r="G8" i="3"/>
  <c r="B4" i="1"/>
  <c r="B5" i="1"/>
  <c r="D7" i="3"/>
  <c r="B7" i="5"/>
  <c r="C7" i="5" s="1"/>
  <c r="D7" i="5" s="1"/>
  <c r="F7" i="5" s="1"/>
  <c r="H8" i="5"/>
  <c r="E8" i="3"/>
  <c r="F8" i="3" s="1"/>
  <c r="H8" i="3" s="1"/>
  <c r="F6" i="3"/>
  <c r="H6" i="3" s="1"/>
  <c r="E6" i="3"/>
  <c r="G6" i="5"/>
  <c r="D4" i="3"/>
  <c r="D5" i="3"/>
  <c r="B6" i="5"/>
  <c r="C6" i="5" s="1"/>
  <c r="D6" i="5" s="1"/>
  <c r="F6" i="5" s="1"/>
  <c r="G5" i="3"/>
  <c r="H7" i="5" l="1"/>
  <c r="C15" i="1"/>
  <c r="I8" i="3"/>
  <c r="J8" i="3" s="1"/>
  <c r="B23" i="1"/>
  <c r="K8" i="3"/>
  <c r="B7" i="1"/>
  <c r="K6" i="3"/>
  <c r="C13" i="1"/>
  <c r="B21" i="1"/>
  <c r="I6" i="3"/>
  <c r="J6" i="3" s="1"/>
  <c r="H6" i="5"/>
  <c r="E5" i="3"/>
  <c r="F5" i="3"/>
  <c r="H5" i="3" s="1"/>
  <c r="E4" i="3"/>
  <c r="F4" i="3" s="1"/>
  <c r="H4" i="3" s="1"/>
  <c r="E7" i="3"/>
  <c r="F7" i="3"/>
  <c r="H7" i="3" s="1"/>
  <c r="I4" i="3" l="1"/>
  <c r="J4" i="3" s="1"/>
  <c r="B19" i="1"/>
  <c r="C11" i="1"/>
  <c r="K4" i="3"/>
  <c r="C23" i="1"/>
  <c r="D15" i="1"/>
  <c r="C21" i="1"/>
  <c r="D13" i="1"/>
  <c r="B8" i="1"/>
  <c r="E13" i="1"/>
  <c r="D21" i="1"/>
  <c r="B20" i="1"/>
  <c r="C12" i="1"/>
  <c r="K5" i="3"/>
  <c r="I5" i="3"/>
  <c r="J5" i="3" s="1"/>
  <c r="D23" i="1"/>
  <c r="E15" i="1"/>
  <c r="B22" i="1"/>
  <c r="I7" i="3"/>
  <c r="K7" i="3"/>
  <c r="J7" i="3"/>
  <c r="C14" i="1"/>
  <c r="C20" i="1" l="1"/>
  <c r="D12" i="1"/>
  <c r="C19" i="1"/>
  <c r="D11" i="1"/>
  <c r="E12" i="1"/>
  <c r="D20" i="1"/>
  <c r="E14" i="1"/>
  <c r="D22" i="1"/>
  <c r="D14" i="1"/>
  <c r="C22" i="1"/>
  <c r="E11" i="1"/>
  <c r="D19" i="1"/>
</calcChain>
</file>

<file path=xl/sharedStrings.xml><?xml version="1.0" encoding="utf-8"?>
<sst xmlns="http://schemas.openxmlformats.org/spreadsheetml/2006/main" count="188" uniqueCount="120">
  <si>
    <t>Dashboard Executivo - Engenharia de Funil OSI</t>
  </si>
  <si>
    <t>KPI</t>
  </si>
  <si>
    <t>Valor</t>
  </si>
  <si>
    <t>Leitura rapida</t>
  </si>
  <si>
    <t>Ticket medio base</t>
  </si>
  <si>
    <t>Criativo valido</t>
  </si>
  <si>
    <t>CTR &gt;= 1,5% e CPV &lt;= R$ 1,39</t>
  </si>
  <si>
    <t>CPA maximo no ROAS alvo</t>
  </si>
  <si>
    <t>Meta economica</t>
  </si>
  <si>
    <t>ROAS alvo 2,5</t>
  </si>
  <si>
    <t>Gasto microteste</t>
  </si>
  <si>
    <t>AOV aumenta CPA</t>
  </si>
  <si>
    <t>Bumps + upsell elevam teto de aquisicao</t>
  </si>
  <si>
    <t>Receita base projetada</t>
  </si>
  <si>
    <t>Recuperacao</t>
  </si>
  <si>
    <t>Meta inicial 5% a 12% dos abandonos</t>
  </si>
  <si>
    <t>Lucro base apos ads</t>
  </si>
  <si>
    <t>Primeira escala</t>
  </si>
  <si>
    <t>Duplicar gancho vencedor antes de ampliar publico</t>
  </si>
  <si>
    <t>Cenario</t>
  </si>
  <si>
    <t>Gasto</t>
  </si>
  <si>
    <t>Receita</t>
  </si>
  <si>
    <t>Lucro</t>
  </si>
  <si>
    <t>ROAS</t>
  </si>
  <si>
    <t>Premissas Editaveis - Otica Sem Improviso</t>
  </si>
  <si>
    <t>Oferta</t>
  </si>
  <si>
    <t>Tipo</t>
  </si>
  <si>
    <t>Observacao</t>
  </si>
  <si>
    <t>Produto principal</t>
  </si>
  <si>
    <t>preco</t>
  </si>
  <si>
    <t>Manual OSI + App</t>
  </si>
  <si>
    <t>Bump WhatsApp</t>
  </si>
  <si>
    <t>Kit de respostas rapidas</t>
  </si>
  <si>
    <t>Bump Checklist</t>
  </si>
  <si>
    <t>Checklist de 30 segundos</t>
  </si>
  <si>
    <t>Upsell Taty</t>
  </si>
  <si>
    <t>Treinamento OSI na Pratica</t>
  </si>
  <si>
    <t>Take rate Bump WhatsApp</t>
  </si>
  <si>
    <t>premissa</t>
  </si>
  <si>
    <t>Meta base: 25% a 40%</t>
  </si>
  <si>
    <t>Take rate Bump Checklist</t>
  </si>
  <si>
    <t>Meta base: 20% a 35%</t>
  </si>
  <si>
    <t>Conversao Upsell</t>
  </si>
  <si>
    <t>Meta base: 8% a 15%</t>
  </si>
  <si>
    <t>Taxa/encargos estimados</t>
  </si>
  <si>
    <t>Editar conforme taxa real da plataforma</t>
  </si>
  <si>
    <t>Orcamento por conjunto/dia</t>
  </si>
  <si>
    <t>trafego</t>
  </si>
  <si>
    <t>ABO por 2 dias</t>
  </si>
  <si>
    <t>Dias de teste</t>
  </si>
  <si>
    <t>Janela inicial</t>
  </si>
  <si>
    <t>Numero de conjuntos</t>
  </si>
  <si>
    <t>Ajustar conforme teste</t>
  </si>
  <si>
    <t>CPV maximo</t>
  </si>
  <si>
    <t>Limite informado</t>
  </si>
  <si>
    <t>ROAS alvo</t>
  </si>
  <si>
    <t>Meta informada</t>
  </si>
  <si>
    <t>CTR minimo</t>
  </si>
  <si>
    <t>Validacao de criativo</t>
  </si>
  <si>
    <t>Conversao clique -&gt; compra</t>
  </si>
  <si>
    <t>Ajustar com dados reais</t>
  </si>
  <si>
    <t>Recuperacao carrinho</t>
  </si>
  <si>
    <t>Meta inicial: 5% a 12%</t>
  </si>
  <si>
    <t>Ticket medio calculado</t>
  </si>
  <si>
    <t>formula</t>
  </si>
  <si>
    <t>Principal + bumps + upsell</t>
  </si>
  <si>
    <t>Modelo de ROAS e Lucro por Cenario</t>
  </si>
  <si>
    <t>Gasto ads</t>
  </si>
  <si>
    <t>Cliques/visitas</t>
  </si>
  <si>
    <t>Compras diretas</t>
  </si>
  <si>
    <t>Compras recuperadas</t>
  </si>
  <si>
    <t>Compras totais</t>
  </si>
  <si>
    <t>Ticket medio</t>
  </si>
  <si>
    <t>Receita bruta</t>
  </si>
  <si>
    <t>Taxas estimadas</t>
  </si>
  <si>
    <t>Lucro apos ads</t>
  </si>
  <si>
    <t>Microteste</t>
  </si>
  <si>
    <t>Conservador</t>
  </si>
  <si>
    <t>Base</t>
  </si>
  <si>
    <t>Agressivo</t>
  </si>
  <si>
    <t>Controle</t>
  </si>
  <si>
    <t>Matriz de Teste ABO - 48h</t>
  </si>
  <si>
    <t>Conjunto</t>
  </si>
  <si>
    <t>Angulo</t>
  </si>
  <si>
    <t>Orcamento/dia</t>
  </si>
  <si>
    <t>Dias</t>
  </si>
  <si>
    <t>CTR link</t>
  </si>
  <si>
    <t>CPV</t>
  </si>
  <si>
    <t>Sinais esperados</t>
  </si>
  <si>
    <t>Status</t>
  </si>
  <si>
    <t>Acao</t>
  </si>
  <si>
    <t>Adset 1</t>
  </si>
  <si>
    <t>Improviso no balcao</t>
  </si>
  <si>
    <t>Cliques qualificados</t>
  </si>
  <si>
    <t>Manter e observar compra</t>
  </si>
  <si>
    <t>Adset 2</t>
  </si>
  <si>
    <t>Cliente diz caro</t>
  </si>
  <si>
    <t>Checkout ou compra</t>
  </si>
  <si>
    <t>Manter se houver sinais</t>
  </si>
  <si>
    <t>Adset 3</t>
  </si>
  <si>
    <t>WhatsApp parado</t>
  </si>
  <si>
    <t>Revisar promessa</t>
  </si>
  <si>
    <t>Novo gancho ou pausar</t>
  </si>
  <si>
    <t>Adset 4</t>
  </si>
  <si>
    <t>Explicacao de lentes</t>
  </si>
  <si>
    <t>Sinal forte</t>
  </si>
  <si>
    <t>Duplicar variacao</t>
  </si>
  <si>
    <t>Adset 5</t>
  </si>
  <si>
    <t>Time sem padrao</t>
  </si>
  <si>
    <t>Pausar se sem evento</t>
  </si>
  <si>
    <t>Pausar se nao houver sinal</t>
  </si>
  <si>
    <t>Projecao de Recuperacao de Carrinho</t>
  </si>
  <si>
    <t>Etapa</t>
  </si>
  <si>
    <t>Visitantes</t>
  </si>
  <si>
    <t>Checkouts</t>
  </si>
  <si>
    <t>Abandono</t>
  </si>
  <si>
    <t>Taxa recuperacao</t>
  </si>
  <si>
    <t>Vendas recuperadas</t>
  </si>
  <si>
    <t>Receita recuperada</t>
  </si>
  <si>
    <t>Meta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</si>
</sst>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#,##0.00"/>
    <numFmt numFmtId="165" formatCode="0.0%"/>
  </numFmts>
  <fonts count="7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color rgb="FF111827"/>
      <name val="Carlito"/>
    </font>
    <font>
      <b/>
      <sz val="10"/>
      <color rgb="FFFFFFFF"/>
      <name val="Aptos"/>
    </font>
    <font>
      <sz val="10"/>
      <name val="Aptos"/>
    </font>
  </fonts>
  <fills count="7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F2937"/>
      </patternFill>
    </fill>
    <fill>
      <patternFill patternType="solid">
        <fgColor rgb="FFFFF2CC"/>
      </patternFill>
    </fill>
    <fill>
      <patternFill patternType="solid">
        <fgColor rgb="FFD9EDE8"/>
      </patternFill>
    </fill>
    <fill>
      <patternFill patternType="solid">
        <fgColor rgb="FFDBEAFE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2" xfId="0" applyFill="1" applyBorder="1"/>
    <xf numFmtId="164" fontId="0" fillId="4" borderId="1" xfId="0" applyNumberFormat="1" applyFill="1" applyBorder="1"/>
    <xf numFmtId="164" fontId="0" fillId="4" borderId="2" xfId="0" applyNumberFormat="1" applyFill="1" applyBorder="1"/>
    <xf numFmtId="164" fontId="0" fillId="0" borderId="0" xfId="0" applyNumberFormat="1"/>
    <xf numFmtId="165" fontId="0" fillId="4" borderId="2" xfId="0" applyNumberFormat="1" applyFill="1" applyBorder="1"/>
    <xf numFmtId="165" fontId="0" fillId="4" borderId="3" xfId="0" applyNumberFormat="1" applyFill="1" applyBorder="1"/>
    <xf numFmtId="0" fontId="3" fillId="5" borderId="0" xfId="0" applyFont="1" applyFill="1"/>
    <xf numFmtId="164" fontId="3" fillId="5" borderId="0" xfId="0" applyNumberFormat="1" applyFont="1" applyFill="1"/>
    <xf numFmtId="2" fontId="0" fillId="0" borderId="0" xfId="0" applyNumberFormat="1"/>
    <xf numFmtId="0" fontId="0" fillId="0" borderId="4" xfId="0" applyBorder="1"/>
    <xf numFmtId="164" fontId="0" fillId="0" borderId="5" xfId="0" applyNumberFormat="1" applyBorder="1"/>
    <xf numFmtId="3" fontId="0" fillId="0" borderId="5" xfId="0" applyNumberFormat="1" applyBorder="1"/>
    <xf numFmtId="2" fontId="0" fillId="0" borderId="6" xfId="0" applyNumberFormat="1" applyBorder="1"/>
    <xf numFmtId="0" fontId="0" fillId="0" borderId="7" xfId="0" applyBorder="1"/>
    <xf numFmtId="164" fontId="0" fillId="0" borderId="8" xfId="0" applyNumberFormat="1" applyBorder="1"/>
    <xf numFmtId="3" fontId="0" fillId="0" borderId="8" xfId="0" applyNumberFormat="1" applyBorder="1"/>
    <xf numFmtId="2" fontId="0" fillId="0" borderId="9" xfId="0" applyNumberFormat="1" applyBorder="1"/>
    <xf numFmtId="0" fontId="0" fillId="0" borderId="10" xfId="0" applyBorder="1"/>
    <xf numFmtId="164" fontId="0" fillId="0" borderId="11" xfId="0" applyNumberFormat="1" applyBorder="1"/>
    <xf numFmtId="3" fontId="0" fillId="0" borderId="11" xfId="0" applyNumberFormat="1" applyBorder="1"/>
    <xf numFmtId="2" fontId="0" fillId="0" borderId="12" xfId="0" applyNumberFormat="1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64" fontId="0" fillId="0" borderId="5" xfId="0" applyNumberFormat="1" applyBorder="1" applyAlignment="1">
      <alignment wrapText="1"/>
    </xf>
    <xf numFmtId="165" fontId="0" fillId="4" borderId="5" xfId="0" applyNumberFormat="1" applyFill="1" applyBorder="1" applyAlignment="1">
      <alignment wrapText="1"/>
    </xf>
    <xf numFmtId="164" fontId="0" fillId="4" borderId="5" xfId="0" applyNumberForma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64" fontId="0" fillId="0" borderId="8" xfId="0" applyNumberFormat="1" applyBorder="1" applyAlignment="1">
      <alignment wrapText="1"/>
    </xf>
    <xf numFmtId="165" fontId="0" fillId="4" borderId="8" xfId="0" applyNumberFormat="1" applyFill="1" applyBorder="1" applyAlignment="1">
      <alignment wrapText="1"/>
    </xf>
    <xf numFmtId="164" fontId="0" fillId="4" borderId="8" xfId="0" applyNumberFormat="1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164" fontId="0" fillId="0" borderId="11" xfId="0" applyNumberFormat="1" applyBorder="1" applyAlignment="1">
      <alignment wrapText="1"/>
    </xf>
    <xf numFmtId="165" fontId="0" fillId="4" borderId="11" xfId="0" applyNumberFormat="1" applyFill="1" applyBorder="1" applyAlignment="1">
      <alignment wrapText="1"/>
    </xf>
    <xf numFmtId="164" fontId="0" fillId="4" borderId="11" xfId="0" applyNumberFormat="1" applyFill="1" applyBorder="1" applyAlignment="1">
      <alignment wrapText="1"/>
    </xf>
    <xf numFmtId="0" fontId="0" fillId="0" borderId="12" xfId="0" applyBorder="1" applyAlignment="1">
      <alignment wrapText="1"/>
    </xf>
    <xf numFmtId="165" fontId="0" fillId="0" borderId="5" xfId="0" applyNumberFormat="1" applyBorder="1"/>
    <xf numFmtId="164" fontId="0" fillId="0" borderId="6" xfId="0" applyNumberFormat="1" applyBorder="1"/>
    <xf numFmtId="165" fontId="0" fillId="0" borderId="8" xfId="0" applyNumberFormat="1" applyBorder="1"/>
    <xf numFmtId="164" fontId="0" fillId="0" borderId="9" xfId="0" applyNumberFormat="1" applyBorder="1"/>
    <xf numFmtId="165" fontId="0" fillId="0" borderId="11" xfId="0" applyNumberFormat="1" applyBorder="1"/>
    <xf numFmtId="164" fontId="0" fillId="0" borderId="12" xfId="0" applyNumberFormat="1" applyBorder="1"/>
    <xf numFmtId="0" fontId="2" fillId="3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6" fillId="0" borderId="0" xfId="0" applyFont="1"/>
    <xf numFmtId="0" fontId="5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wrapText="1"/>
    </xf>
    <xf numFmtId="0" fontId="5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Receita e lucro por 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Receita</c:v>
          </c:tx>
          <c:invertIfNegative val="1"/>
          <c:cat>
            <c:strRef>
              <c:f>Dashboard!$A$19:$A$23</c:f>
              <c:strCache>
                <c:ptCount val="5"/>
                <c:pt idx="0">
                  <c:v>Microteste</c:v>
                </c:pt>
                <c:pt idx="1">
                  <c:v>Conservador</c:v>
                </c:pt>
                <c:pt idx="2">
                  <c:v>Base</c:v>
                </c:pt>
                <c:pt idx="3">
                  <c:v>Agressivo</c:v>
                </c:pt>
                <c:pt idx="4">
                  <c:v>Controle</c:v>
                </c:pt>
              </c:strCache>
            </c:strRef>
          </c:cat>
          <c:val>
            <c:numRef>
              <c:f>Dashboard!$B$19:$B$23</c:f>
              <c:numCache>
                <c:formatCode>"R$"#,##0.00</c:formatCode>
                <c:ptCount val="5"/>
                <c:pt idx="0">
                  <c:v>304.67250000000007</c:v>
                </c:pt>
                <c:pt idx="1">
                  <c:v>914.01750000000015</c:v>
                </c:pt>
                <c:pt idx="2">
                  <c:v>3179.1913043478266</c:v>
                </c:pt>
                <c:pt idx="3">
                  <c:v>12771.301052631583</c:v>
                </c:pt>
                <c:pt idx="4">
                  <c:v>3046.7250000000008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9-4896-B003-50231ACD62A8}"/>
            </c:ext>
          </c:extLst>
        </c:ser>
        <c:ser>
          <c:idx val="1"/>
          <c:order val="1"/>
          <c:tx>
            <c:v>Lucro</c:v>
          </c:tx>
          <c:invertIfNegative val="1"/>
          <c:cat>
            <c:strRef>
              <c:f>Dashboard!$A$19:$A$23</c:f>
              <c:strCache>
                <c:ptCount val="5"/>
                <c:pt idx="0">
                  <c:v>Microteste</c:v>
                </c:pt>
                <c:pt idx="1">
                  <c:v>Conservador</c:v>
                </c:pt>
                <c:pt idx="2">
                  <c:v>Base</c:v>
                </c:pt>
                <c:pt idx="3">
                  <c:v>Agressivo</c:v>
                </c:pt>
                <c:pt idx="4">
                  <c:v>Controle</c:v>
                </c:pt>
              </c:strCache>
            </c:strRef>
          </c:cat>
          <c:val>
            <c:numRef>
              <c:f>Dashboard!$C$19:$C$23</c:f>
              <c:numCache>
                <c:formatCode>"R$"#,##0.00</c:formatCode>
                <c:ptCount val="5"/>
                <c:pt idx="0">
                  <c:v>177.25197500000007</c:v>
                </c:pt>
                <c:pt idx="1">
                  <c:v>331.75592500000016</c:v>
                </c:pt>
                <c:pt idx="2">
                  <c:v>1893.0640869565223</c:v>
                </c:pt>
                <c:pt idx="3">
                  <c:v>9121.8839578947409</c:v>
                </c:pt>
                <c:pt idx="4">
                  <c:v>1772.5197500000008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9-4896-B003-50231ACD6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R$&quot;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showGridLines="0" tabSelected="1" workbookViewId="0">
      <selection activeCell="B4" sqref="B4"/>
    </sheetView>
  </sheetViews>
  <sheetFormatPr defaultRowHeight="14.25"/>
  <cols>
    <col min="1" max="1" width="24" bestFit="1" customWidth="1"/>
    <col min="2" max="3" width="11.25" bestFit="1" customWidth="1"/>
    <col min="4" max="4" width="10.25" bestFit="1" customWidth="1"/>
    <col min="5" max="5" width="6.125" bestFit="1" customWidth="1"/>
  </cols>
  <sheetData>
    <row r="1" spans="1:10">
      <c r="A1" s="51" t="s">
        <v>0</v>
      </c>
      <c r="B1" s="51" t="s">
        <v>0</v>
      </c>
      <c r="C1" s="51" t="s">
        <v>0</v>
      </c>
      <c r="D1" s="51" t="s">
        <v>0</v>
      </c>
      <c r="E1" s="51" t="s">
        <v>0</v>
      </c>
      <c r="F1" s="51" t="s">
        <v>0</v>
      </c>
      <c r="G1" s="51" t="s">
        <v>0</v>
      </c>
      <c r="H1" s="51" t="s">
        <v>0</v>
      </c>
      <c r="I1" s="51" t="s">
        <v>0</v>
      </c>
      <c r="J1" s="51" t="s">
        <v>0</v>
      </c>
    </row>
    <row r="3" spans="1:10" ht="15">
      <c r="A3" s="47" t="s">
        <v>1</v>
      </c>
      <c r="B3" s="48" t="s">
        <v>2</v>
      </c>
      <c r="G3" s="52" t="s">
        <v>3</v>
      </c>
      <c r="H3" s="52"/>
      <c r="I3" s="52"/>
      <c r="J3" s="52"/>
    </row>
    <row r="4" spans="1:10">
      <c r="A4" s="15" t="s">
        <v>4</v>
      </c>
      <c r="B4" s="44">
        <f>Premissas!B23</f>
        <v>135.41000000000003</v>
      </c>
      <c r="G4" s="52" t="s">
        <v>5</v>
      </c>
      <c r="H4" s="52" t="s">
        <v>6</v>
      </c>
      <c r="I4" s="52"/>
      <c r="J4" s="52"/>
    </row>
    <row r="5" spans="1:10">
      <c r="A5" s="15" t="s">
        <v>7</v>
      </c>
      <c r="B5" s="44">
        <f>Premissas!B23/Premissas!B18</f>
        <v>54.164000000000009</v>
      </c>
      <c r="G5" s="52" t="s">
        <v>8</v>
      </c>
      <c r="H5" s="52" t="s">
        <v>9</v>
      </c>
      <c r="I5" s="52"/>
      <c r="J5" s="52"/>
    </row>
    <row r="6" spans="1:10">
      <c r="A6" s="15" t="s">
        <v>10</v>
      </c>
      <c r="B6" s="44">
        <f>Modelo_ROAS!B4</f>
        <v>100</v>
      </c>
      <c r="G6" s="52" t="s">
        <v>11</v>
      </c>
      <c r="H6" s="52" t="s">
        <v>12</v>
      </c>
      <c r="I6" s="52"/>
      <c r="J6" s="52"/>
    </row>
    <row r="7" spans="1:10">
      <c r="A7" s="15" t="s">
        <v>13</v>
      </c>
      <c r="B7" s="44">
        <f>Modelo_ROAS!H6</f>
        <v>3179.1913043478266</v>
      </c>
      <c r="G7" s="52" t="s">
        <v>14</v>
      </c>
      <c r="H7" s="52" t="s">
        <v>15</v>
      </c>
      <c r="I7" s="52"/>
      <c r="J7" s="52"/>
    </row>
    <row r="8" spans="1:10">
      <c r="A8" s="19" t="s">
        <v>16</v>
      </c>
      <c r="B8" s="46">
        <f>Modelo_ROAS!J6</f>
        <v>1893.0640869565223</v>
      </c>
      <c r="G8" s="52" t="s">
        <v>17</v>
      </c>
      <c r="H8" s="52" t="s">
        <v>18</v>
      </c>
      <c r="I8" s="52"/>
      <c r="J8" s="52"/>
    </row>
    <row r="10" spans="1:10" ht="15">
      <c r="A10" s="47" t="s">
        <v>19</v>
      </c>
      <c r="B10" s="49" t="s">
        <v>20</v>
      </c>
      <c r="C10" s="49" t="s">
        <v>21</v>
      </c>
      <c r="D10" s="49" t="s">
        <v>22</v>
      </c>
      <c r="E10" s="48" t="s">
        <v>23</v>
      </c>
    </row>
    <row r="11" spans="1:10">
      <c r="A11" s="15" t="str">
        <f>Modelo_ROAS!A4</f>
        <v>Microteste</v>
      </c>
      <c r="B11" s="16">
        <f>Modelo_ROAS!B4</f>
        <v>100</v>
      </c>
      <c r="C11" s="16">
        <f>Modelo_ROAS!H4</f>
        <v>304.67250000000007</v>
      </c>
      <c r="D11" s="16">
        <f>Modelo_ROAS!J4</f>
        <v>177.25197500000007</v>
      </c>
      <c r="E11" s="18">
        <f>Modelo_ROAS!K4</f>
        <v>3.0467250000000008</v>
      </c>
    </row>
    <row r="12" spans="1:10">
      <c r="A12" s="15" t="str">
        <f>Modelo_ROAS!A5</f>
        <v>Conservador</v>
      </c>
      <c r="B12" s="16">
        <f>Modelo_ROAS!B5</f>
        <v>500</v>
      </c>
      <c r="C12" s="16">
        <f>Modelo_ROAS!H5</f>
        <v>914.01750000000015</v>
      </c>
      <c r="D12" s="16">
        <f>Modelo_ROAS!J5</f>
        <v>331.75592500000016</v>
      </c>
      <c r="E12" s="18">
        <f>Modelo_ROAS!K5</f>
        <v>1.8280350000000003</v>
      </c>
    </row>
    <row r="13" spans="1:10">
      <c r="A13" s="15" t="str">
        <f>Modelo_ROAS!A6</f>
        <v>Base</v>
      </c>
      <c r="B13" s="16">
        <f>Modelo_ROAS!B6</f>
        <v>1000</v>
      </c>
      <c r="C13" s="16">
        <f>Modelo_ROAS!H6</f>
        <v>3179.1913043478266</v>
      </c>
      <c r="D13" s="16">
        <f>Modelo_ROAS!J6</f>
        <v>1893.0640869565223</v>
      </c>
      <c r="E13" s="18">
        <f>Modelo_ROAS!K6</f>
        <v>3.1791913043478268</v>
      </c>
    </row>
    <row r="14" spans="1:10">
      <c r="A14" s="15" t="str">
        <f>Modelo_ROAS!A7</f>
        <v>Agressivo</v>
      </c>
      <c r="B14" s="16">
        <f>Modelo_ROAS!B7</f>
        <v>2500</v>
      </c>
      <c r="C14" s="16">
        <f>Modelo_ROAS!H7</f>
        <v>12771.301052631583</v>
      </c>
      <c r="D14" s="16">
        <f>Modelo_ROAS!J7</f>
        <v>9121.8839578947409</v>
      </c>
      <c r="E14" s="18">
        <f>Modelo_ROAS!K7</f>
        <v>5.1085204210526332</v>
      </c>
    </row>
    <row r="15" spans="1:10">
      <c r="A15" s="19" t="str">
        <f>Modelo_ROAS!A8</f>
        <v>Controle</v>
      </c>
      <c r="B15" s="20">
        <f>Modelo_ROAS!B8</f>
        <v>1000</v>
      </c>
      <c r="C15" s="20">
        <f>Modelo_ROAS!H8</f>
        <v>3046.7250000000008</v>
      </c>
      <c r="D15" s="20">
        <f>Modelo_ROAS!J8</f>
        <v>1772.5197500000008</v>
      </c>
      <c r="E15" s="22">
        <f>Modelo_ROAS!K8</f>
        <v>3.0467250000000008</v>
      </c>
    </row>
    <row r="18" spans="1:4" ht="15">
      <c r="A18" s="1" t="s">
        <v>19</v>
      </c>
      <c r="B18" s="1" t="s">
        <v>21</v>
      </c>
      <c r="C18" s="1" t="s">
        <v>22</v>
      </c>
      <c r="D18" s="1" t="s">
        <v>23</v>
      </c>
    </row>
    <row r="19" spans="1:4">
      <c r="A19" t="str">
        <f>Modelo_ROAS!A4</f>
        <v>Microteste</v>
      </c>
      <c r="B19" s="5">
        <f>Modelo_ROAS!H4</f>
        <v>304.67250000000007</v>
      </c>
      <c r="C19" s="5">
        <f>Modelo_ROAS!J4</f>
        <v>177.25197500000007</v>
      </c>
      <c r="D19" s="10">
        <f>Modelo_ROAS!K4</f>
        <v>3.0467250000000008</v>
      </c>
    </row>
    <row r="20" spans="1:4">
      <c r="A20" t="str">
        <f>Modelo_ROAS!A5</f>
        <v>Conservador</v>
      </c>
      <c r="B20" s="5">
        <f>Modelo_ROAS!H5</f>
        <v>914.01750000000015</v>
      </c>
      <c r="C20" s="5">
        <f>Modelo_ROAS!J5</f>
        <v>331.75592500000016</v>
      </c>
      <c r="D20" s="10">
        <f>Modelo_ROAS!K5</f>
        <v>1.8280350000000003</v>
      </c>
    </row>
    <row r="21" spans="1:4">
      <c r="A21" t="str">
        <f>Modelo_ROAS!A6</f>
        <v>Base</v>
      </c>
      <c r="B21" s="5">
        <f>Modelo_ROAS!H6</f>
        <v>3179.1913043478266</v>
      </c>
      <c r="C21" s="5">
        <f>Modelo_ROAS!J6</f>
        <v>1893.0640869565223</v>
      </c>
      <c r="D21" s="10">
        <f>Modelo_ROAS!K6</f>
        <v>3.1791913043478268</v>
      </c>
    </row>
    <row r="22" spans="1:4">
      <c r="A22" t="str">
        <f>Modelo_ROAS!A7</f>
        <v>Agressivo</v>
      </c>
      <c r="B22" s="5">
        <f>Modelo_ROAS!H7</f>
        <v>12771.301052631583</v>
      </c>
      <c r="C22" s="5">
        <f>Modelo_ROAS!J7</f>
        <v>9121.8839578947409</v>
      </c>
      <c r="D22" s="10">
        <f>Modelo_ROAS!K7</f>
        <v>5.1085204210526332</v>
      </c>
    </row>
    <row r="23" spans="1:4">
      <c r="A23" t="str">
        <f>Modelo_ROAS!A8</f>
        <v>Controle</v>
      </c>
      <c r="B23" s="5">
        <f>Modelo_ROAS!H8</f>
        <v>3046.7250000000008</v>
      </c>
      <c r="C23" s="5">
        <f>Modelo_ROAS!J8</f>
        <v>1772.5197500000008</v>
      </c>
      <c r="D23" s="10">
        <f>Modelo_ROAS!K8</f>
        <v>3.0467250000000008</v>
      </c>
    </row>
  </sheetData>
  <mergeCells count="3">
    <mergeCell ref="A1:J1"/>
    <mergeCell ref="G3:J3"/>
    <mergeCell ref="G4:J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>
      <selection activeCell="B4" sqref="B4"/>
    </sheetView>
  </sheetViews>
  <sheetFormatPr defaultRowHeight="14.25"/>
  <cols>
    <col min="1" max="1" width="24.375" bestFit="1" customWidth="1"/>
    <col min="2" max="2" width="8.75" bestFit="1" customWidth="1"/>
    <col min="3" max="3" width="8.5" bestFit="1" customWidth="1"/>
    <col min="4" max="4" width="33.625" bestFit="1" customWidth="1"/>
  </cols>
  <sheetData>
    <row r="1" spans="1:10" ht="15">
      <c r="A1" s="53" t="s">
        <v>24</v>
      </c>
      <c r="B1" s="53" t="s">
        <v>24</v>
      </c>
      <c r="C1" s="53" t="s">
        <v>24</v>
      </c>
      <c r="D1" s="53" t="s">
        <v>24</v>
      </c>
      <c r="E1" s="51" t="s">
        <v>24</v>
      </c>
      <c r="F1" s="51" t="s">
        <v>24</v>
      </c>
      <c r="G1" s="51" t="s">
        <v>24</v>
      </c>
      <c r="H1" s="51" t="s">
        <v>24</v>
      </c>
      <c r="I1" s="50"/>
      <c r="J1" s="50"/>
    </row>
    <row r="3" spans="1:10" ht="15">
      <c r="A3" s="1" t="s">
        <v>25</v>
      </c>
      <c r="B3" s="1" t="s">
        <v>2</v>
      </c>
      <c r="C3" s="1" t="s">
        <v>26</v>
      </c>
      <c r="D3" s="1" t="s">
        <v>27</v>
      </c>
    </row>
    <row r="4" spans="1:10">
      <c r="A4" t="s">
        <v>28</v>
      </c>
      <c r="B4" s="3">
        <v>97</v>
      </c>
      <c r="C4" t="s">
        <v>29</v>
      </c>
      <c r="D4" t="s">
        <v>30</v>
      </c>
    </row>
    <row r="5" spans="1:10">
      <c r="A5" t="s">
        <v>31</v>
      </c>
      <c r="B5" s="4">
        <v>27</v>
      </c>
      <c r="C5" t="s">
        <v>29</v>
      </c>
      <c r="D5" t="s">
        <v>32</v>
      </c>
    </row>
    <row r="6" spans="1:10">
      <c r="A6" t="s">
        <v>33</v>
      </c>
      <c r="B6" s="4">
        <v>19</v>
      </c>
      <c r="C6" t="s">
        <v>29</v>
      </c>
      <c r="D6" t="s">
        <v>34</v>
      </c>
    </row>
    <row r="7" spans="1:10">
      <c r="A7" t="s">
        <v>35</v>
      </c>
      <c r="B7" s="4">
        <v>197</v>
      </c>
      <c r="C7" t="s">
        <v>29</v>
      </c>
      <c r="D7" t="s">
        <v>36</v>
      </c>
    </row>
    <row r="8" spans="1:10">
      <c r="B8" s="2"/>
    </row>
    <row r="9" spans="1:10">
      <c r="A9" t="s">
        <v>37</v>
      </c>
      <c r="B9" s="2">
        <v>0.35</v>
      </c>
      <c r="C9" t="s">
        <v>38</v>
      </c>
      <c r="D9" t="s">
        <v>39</v>
      </c>
    </row>
    <row r="10" spans="1:10">
      <c r="A10" t="s">
        <v>40</v>
      </c>
      <c r="B10" s="6">
        <v>0.28000000000000003</v>
      </c>
      <c r="C10" t="s">
        <v>38</v>
      </c>
      <c r="D10" t="s">
        <v>41</v>
      </c>
    </row>
    <row r="11" spans="1:10">
      <c r="A11" t="s">
        <v>42</v>
      </c>
      <c r="B11" s="6">
        <v>0.12</v>
      </c>
      <c r="C11" t="s">
        <v>38</v>
      </c>
      <c r="D11" t="s">
        <v>43</v>
      </c>
    </row>
    <row r="12" spans="1:10">
      <c r="A12" t="s">
        <v>44</v>
      </c>
      <c r="B12" s="6">
        <v>0.09</v>
      </c>
      <c r="C12" t="s">
        <v>38</v>
      </c>
      <c r="D12" t="s">
        <v>45</v>
      </c>
    </row>
    <row r="13" spans="1:10">
      <c r="B13" s="6"/>
    </row>
    <row r="14" spans="1:10">
      <c r="A14" t="s">
        <v>46</v>
      </c>
      <c r="B14" s="2">
        <v>12.5</v>
      </c>
      <c r="C14" t="s">
        <v>47</v>
      </c>
      <c r="D14" t="s">
        <v>48</v>
      </c>
    </row>
    <row r="15" spans="1:10">
      <c r="A15" t="s">
        <v>49</v>
      </c>
      <c r="B15" s="4">
        <v>2</v>
      </c>
      <c r="C15" t="s">
        <v>47</v>
      </c>
      <c r="D15" t="s">
        <v>50</v>
      </c>
    </row>
    <row r="16" spans="1:10">
      <c r="A16" t="s">
        <v>51</v>
      </c>
      <c r="B16" s="2">
        <v>4</v>
      </c>
      <c r="C16" t="s">
        <v>47</v>
      </c>
      <c r="D16" t="s">
        <v>52</v>
      </c>
    </row>
    <row r="17" spans="1:4">
      <c r="A17" t="s">
        <v>53</v>
      </c>
      <c r="B17" s="2">
        <v>1.39</v>
      </c>
      <c r="C17" t="s">
        <v>1</v>
      </c>
      <c r="D17" t="s">
        <v>54</v>
      </c>
    </row>
    <row r="18" spans="1:4">
      <c r="A18" t="s">
        <v>55</v>
      </c>
      <c r="B18" s="4">
        <v>2.5</v>
      </c>
      <c r="C18" t="s">
        <v>1</v>
      </c>
      <c r="D18" t="s">
        <v>56</v>
      </c>
    </row>
    <row r="19" spans="1:4">
      <c r="A19" t="s">
        <v>57</v>
      </c>
      <c r="B19" s="2">
        <v>1.4999999999999999E-2</v>
      </c>
      <c r="C19" t="s">
        <v>1</v>
      </c>
      <c r="D19" t="s">
        <v>58</v>
      </c>
    </row>
    <row r="20" spans="1:4">
      <c r="A20" t="s">
        <v>59</v>
      </c>
      <c r="B20" s="6">
        <v>2.5000000000000001E-2</v>
      </c>
      <c r="C20" t="s">
        <v>38</v>
      </c>
      <c r="D20" t="s">
        <v>60</v>
      </c>
    </row>
    <row r="21" spans="1:4">
      <c r="A21" t="s">
        <v>61</v>
      </c>
      <c r="B21" s="7">
        <v>0.08</v>
      </c>
      <c r="C21" t="s">
        <v>38</v>
      </c>
      <c r="D21" t="s">
        <v>62</v>
      </c>
    </row>
    <row r="23" spans="1:4" ht="15">
      <c r="A23" s="8" t="s">
        <v>63</v>
      </c>
      <c r="B23" s="9">
        <f>B4+(B5*B9)+(B6*B10)+(B7*B11)</f>
        <v>135.41000000000003</v>
      </c>
      <c r="C23" s="8" t="s">
        <v>64</v>
      </c>
      <c r="D23" s="8" t="s">
        <v>65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"/>
  <sheetViews>
    <sheetView showGridLines="0" workbookViewId="0">
      <selection activeCell="D21" sqref="D21"/>
    </sheetView>
  </sheetViews>
  <sheetFormatPr defaultRowHeight="14.25"/>
  <cols>
    <col min="1" max="1" width="11.375" bestFit="1" customWidth="1"/>
    <col min="2" max="2" width="10.25" bestFit="1" customWidth="1"/>
    <col min="3" max="3" width="14" bestFit="1" customWidth="1"/>
    <col min="4" max="4" width="15.5" bestFit="1" customWidth="1"/>
    <col min="5" max="5" width="20.625" bestFit="1" customWidth="1"/>
    <col min="6" max="6" width="14.25" bestFit="1" customWidth="1"/>
    <col min="7" max="7" width="12.25" bestFit="1" customWidth="1"/>
    <col min="8" max="8" width="12.75" bestFit="1" customWidth="1"/>
    <col min="9" max="9" width="15.625" bestFit="1" customWidth="1"/>
    <col min="10" max="10" width="14.5" bestFit="1" customWidth="1"/>
    <col min="11" max="11" width="6.125" bestFit="1" customWidth="1"/>
  </cols>
  <sheetData>
    <row r="1" spans="1:11" ht="18">
      <c r="A1" s="51" t="s">
        <v>66</v>
      </c>
      <c r="B1" s="51" t="s">
        <v>66</v>
      </c>
      <c r="C1" s="51" t="s">
        <v>66</v>
      </c>
      <c r="D1" s="51" t="s">
        <v>66</v>
      </c>
      <c r="E1" s="51" t="s">
        <v>66</v>
      </c>
      <c r="F1" s="51" t="s">
        <v>66</v>
      </c>
      <c r="G1" s="51" t="s">
        <v>66</v>
      </c>
      <c r="H1" s="51" t="s">
        <v>66</v>
      </c>
      <c r="I1" s="51" t="s">
        <v>66</v>
      </c>
      <c r="J1" s="51" t="s">
        <v>66</v>
      </c>
      <c r="K1" s="54" t="s">
        <v>66</v>
      </c>
    </row>
    <row r="3" spans="1:11" ht="15">
      <c r="A3" s="1" t="s">
        <v>19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23</v>
      </c>
    </row>
    <row r="4" spans="1:11">
      <c r="A4" s="11" t="s">
        <v>76</v>
      </c>
      <c r="B4" s="12">
        <f>Premissas!B14*Premissas!B15*Premissas!B16</f>
        <v>100</v>
      </c>
      <c r="C4" s="13">
        <f>B4/1.2</f>
        <v>83.333333333333343</v>
      </c>
      <c r="D4" s="13">
        <f>C4*Premissas!B20</f>
        <v>2.0833333333333335</v>
      </c>
      <c r="E4" s="13">
        <f>D4*Premissas!B21</f>
        <v>0.16666666666666669</v>
      </c>
      <c r="F4" s="13">
        <f>D4+E4</f>
        <v>2.25</v>
      </c>
      <c r="G4" s="12">
        <f>Premissas!B23</f>
        <v>135.41000000000003</v>
      </c>
      <c r="H4" s="12">
        <f>F4*G4</f>
        <v>304.67250000000007</v>
      </c>
      <c r="I4" s="12">
        <f>H4*Premissas!B12</f>
        <v>27.420525000000005</v>
      </c>
      <c r="J4" s="12">
        <f>H4-I4-B4</f>
        <v>177.25197500000007</v>
      </c>
      <c r="K4" s="14">
        <f>H4/B4</f>
        <v>3.0467250000000008</v>
      </c>
    </row>
    <row r="5" spans="1:11">
      <c r="A5" s="15" t="s">
        <v>77</v>
      </c>
      <c r="B5" s="16">
        <f>500</f>
        <v>500</v>
      </c>
      <c r="C5" s="17">
        <f>B5/1.4</f>
        <v>357.14285714285717</v>
      </c>
      <c r="D5" s="17">
        <f>C5*0.018</f>
        <v>6.4285714285714288</v>
      </c>
      <c r="E5" s="17">
        <f>D5*0.05</f>
        <v>0.32142857142857145</v>
      </c>
      <c r="F5" s="17">
        <f>D5+E5</f>
        <v>6.75</v>
      </c>
      <c r="G5" s="16">
        <f>Premissas!B23</f>
        <v>135.41000000000003</v>
      </c>
      <c r="H5" s="16">
        <f>F5*G5</f>
        <v>914.01750000000015</v>
      </c>
      <c r="I5" s="16">
        <f>H5*Premissas!B12</f>
        <v>82.261575000000008</v>
      </c>
      <c r="J5" s="16">
        <f>H5-I5-B5</f>
        <v>331.75592500000016</v>
      </c>
      <c r="K5" s="18">
        <f>H5/B5</f>
        <v>1.8280350000000003</v>
      </c>
    </row>
    <row r="6" spans="1:11">
      <c r="A6" s="15" t="s">
        <v>78</v>
      </c>
      <c r="B6" s="16">
        <f>1000</f>
        <v>1000</v>
      </c>
      <c r="C6" s="17">
        <f>B6/1.15</f>
        <v>869.56521739130437</v>
      </c>
      <c r="D6" s="17">
        <f>C6*0.025</f>
        <v>21.739130434782609</v>
      </c>
      <c r="E6" s="17">
        <f>D6*0.08</f>
        <v>1.7391304347826089</v>
      </c>
      <c r="F6" s="17">
        <f>D6+E6</f>
        <v>23.478260869565219</v>
      </c>
      <c r="G6" s="16">
        <f>Premissas!B23</f>
        <v>135.41000000000003</v>
      </c>
      <c r="H6" s="16">
        <f>F6*G6</f>
        <v>3179.1913043478266</v>
      </c>
      <c r="I6" s="16">
        <f>H6*Premissas!B12</f>
        <v>286.12721739130438</v>
      </c>
      <c r="J6" s="16">
        <f>H6-I6-B6</f>
        <v>1893.0640869565223</v>
      </c>
      <c r="K6" s="18">
        <f>H6/B6</f>
        <v>3.1791913043478268</v>
      </c>
    </row>
    <row r="7" spans="1:11">
      <c r="A7" s="15" t="s">
        <v>79</v>
      </c>
      <c r="B7" s="16">
        <f>2500</f>
        <v>2500</v>
      </c>
      <c r="C7" s="17">
        <f>B7/0.95</f>
        <v>2631.5789473684213</v>
      </c>
      <c r="D7" s="17">
        <f>C7*0.032</f>
        <v>84.21052631578948</v>
      </c>
      <c r="E7" s="17">
        <f>D7*0.12</f>
        <v>10.105263157894738</v>
      </c>
      <c r="F7" s="17">
        <f>D7+E7</f>
        <v>94.31578947368422</v>
      </c>
      <c r="G7" s="16">
        <f>Premissas!B23</f>
        <v>135.41000000000003</v>
      </c>
      <c r="H7" s="16">
        <f>F7*G7</f>
        <v>12771.301052631583</v>
      </c>
      <c r="I7" s="16">
        <f>H7*Premissas!B12</f>
        <v>1149.4170947368425</v>
      </c>
      <c r="J7" s="16">
        <f>H7-I7-B7</f>
        <v>9121.8839578947409</v>
      </c>
      <c r="K7" s="18">
        <f>H7/B7</f>
        <v>5.1085204210526332</v>
      </c>
    </row>
    <row r="8" spans="1:11">
      <c r="A8" s="19" t="s">
        <v>80</v>
      </c>
      <c r="B8" s="20">
        <f>1000</f>
        <v>1000</v>
      </c>
      <c r="C8" s="21">
        <f>B8/1.2</f>
        <v>833.33333333333337</v>
      </c>
      <c r="D8" s="21">
        <f>C8*Premissas!B20</f>
        <v>20.833333333333336</v>
      </c>
      <c r="E8" s="21">
        <f>D8*Premissas!B21</f>
        <v>1.666666666666667</v>
      </c>
      <c r="F8" s="21">
        <f>D8+E8</f>
        <v>22.500000000000004</v>
      </c>
      <c r="G8" s="20">
        <f>Premissas!B23</f>
        <v>135.41000000000003</v>
      </c>
      <c r="H8" s="20">
        <f>F8*G8</f>
        <v>3046.7250000000008</v>
      </c>
      <c r="I8" s="20">
        <f>H8*Premissas!B12</f>
        <v>274.20525000000009</v>
      </c>
      <c r="J8" s="20">
        <f>H8-I8-B8</f>
        <v>1772.5197500000008</v>
      </c>
      <c r="K8" s="22">
        <f>H8/B8</f>
        <v>3.0467250000000008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"/>
  <sheetViews>
    <sheetView showGridLines="0" workbookViewId="0">
      <selection activeCell="F27" sqref="F27"/>
    </sheetView>
  </sheetViews>
  <sheetFormatPr defaultColWidth="23.625" defaultRowHeight="14.25"/>
  <cols>
    <col min="1" max="1" width="9" bestFit="1" customWidth="1"/>
    <col min="2" max="2" width="17.875" bestFit="1" customWidth="1"/>
    <col min="3" max="3" width="13.875" bestFit="1" customWidth="1"/>
    <col min="4" max="4" width="4.75" bestFit="1" customWidth="1"/>
    <col min="5" max="5" width="7.75" bestFit="1" customWidth="1"/>
    <col min="6" max="6" width="8.5" bestFit="1" customWidth="1"/>
    <col min="7" max="7" width="6.75" bestFit="1" customWidth="1"/>
    <col min="8" max="8" width="19.5" bestFit="1" customWidth="1"/>
    <col min="9" max="9" width="12.125" bestFit="1" customWidth="1"/>
    <col min="10" max="10" width="23.375" bestFit="1" customWidth="1"/>
  </cols>
  <sheetData>
    <row r="1" spans="1:10">
      <c r="A1" s="51" t="s">
        <v>81</v>
      </c>
      <c r="B1" s="51" t="s">
        <v>81</v>
      </c>
      <c r="C1" s="51" t="s">
        <v>81</v>
      </c>
      <c r="D1" s="51" t="s">
        <v>81</v>
      </c>
      <c r="E1" s="51" t="s">
        <v>81</v>
      </c>
      <c r="F1" s="51" t="s">
        <v>81</v>
      </c>
      <c r="G1" s="51" t="s">
        <v>81</v>
      </c>
      <c r="H1" s="51" t="s">
        <v>81</v>
      </c>
      <c r="I1" s="51" t="s">
        <v>81</v>
      </c>
      <c r="J1" s="51" t="s">
        <v>81</v>
      </c>
    </row>
    <row r="3" spans="1:10" ht="15">
      <c r="A3" s="1" t="s">
        <v>82</v>
      </c>
      <c r="B3" s="1" t="s">
        <v>83</v>
      </c>
      <c r="C3" s="1" t="s">
        <v>84</v>
      </c>
      <c r="D3" s="1" t="s">
        <v>85</v>
      </c>
      <c r="E3" s="1" t="s">
        <v>20</v>
      </c>
      <c r="F3" s="1" t="s">
        <v>86</v>
      </c>
      <c r="G3" s="1" t="s">
        <v>87</v>
      </c>
      <c r="H3" s="1" t="s">
        <v>88</v>
      </c>
      <c r="I3" s="1" t="s">
        <v>89</v>
      </c>
      <c r="J3" s="1" t="s">
        <v>90</v>
      </c>
    </row>
    <row r="4" spans="1:10">
      <c r="A4" s="23" t="s">
        <v>91</v>
      </c>
      <c r="B4" s="24" t="s">
        <v>92</v>
      </c>
      <c r="C4" s="25">
        <f>Premissas!B14</f>
        <v>12.5</v>
      </c>
      <c r="D4" s="24">
        <f>Premissas!B15</f>
        <v>2</v>
      </c>
      <c r="E4" s="25">
        <f>C4*D4</f>
        <v>25</v>
      </c>
      <c r="F4" s="26">
        <v>1.7999999999999999E-2</v>
      </c>
      <c r="G4" s="27">
        <v>1.2</v>
      </c>
      <c r="H4" s="24" t="s">
        <v>93</v>
      </c>
      <c r="I4" s="24" t="str">
        <f>IF(AND(F4&gt;=Premissas!B19,G4&lt;=Premissas!B17),"Validar","Ajustar/Cortar")</f>
        <v>Validar</v>
      </c>
      <c r="J4" s="28" t="s">
        <v>94</v>
      </c>
    </row>
    <row r="5" spans="1:10">
      <c r="A5" s="29" t="s">
        <v>95</v>
      </c>
      <c r="B5" s="30" t="s">
        <v>96</v>
      </c>
      <c r="C5" s="31">
        <f>Premissas!B14</f>
        <v>12.5</v>
      </c>
      <c r="D5" s="30">
        <f>Premissas!B15</f>
        <v>2</v>
      </c>
      <c r="E5" s="31">
        <f>C5*D5</f>
        <v>25</v>
      </c>
      <c r="F5" s="32">
        <v>1.6E-2</v>
      </c>
      <c r="G5" s="33">
        <v>1.39</v>
      </c>
      <c r="H5" s="30" t="s">
        <v>97</v>
      </c>
      <c r="I5" s="30" t="str">
        <f>IF(AND(F5&gt;=Premissas!B19,G5&lt;=Premissas!B17),"Validar","Ajustar/Cortar")</f>
        <v>Validar</v>
      </c>
      <c r="J5" s="34" t="s">
        <v>98</v>
      </c>
    </row>
    <row r="6" spans="1:10">
      <c r="A6" s="29" t="s">
        <v>99</v>
      </c>
      <c r="B6" s="30" t="s">
        <v>100</v>
      </c>
      <c r="C6" s="31">
        <f>Premissas!B14</f>
        <v>12.5</v>
      </c>
      <c r="D6" s="30">
        <f>Premissas!B15</f>
        <v>2</v>
      </c>
      <c r="E6" s="31">
        <f>C6*D6</f>
        <v>25</v>
      </c>
      <c r="F6" s="32">
        <v>1.4E-2</v>
      </c>
      <c r="G6" s="33">
        <v>1.55</v>
      </c>
      <c r="H6" s="30" t="s">
        <v>101</v>
      </c>
      <c r="I6" s="30" t="str">
        <f>IF(AND(F6&gt;=Premissas!B19,G6&lt;=Premissas!B17),"Validar","Ajustar/Cortar")</f>
        <v>Ajustar/Cortar</v>
      </c>
      <c r="J6" s="34" t="s">
        <v>102</v>
      </c>
    </row>
    <row r="7" spans="1:10">
      <c r="A7" s="29" t="s">
        <v>103</v>
      </c>
      <c r="B7" s="30" t="s">
        <v>104</v>
      </c>
      <c r="C7" s="31">
        <f>Premissas!B14</f>
        <v>12.5</v>
      </c>
      <c r="D7" s="30">
        <f>Premissas!B15</f>
        <v>2</v>
      </c>
      <c r="E7" s="31">
        <f>C7*D7</f>
        <v>25</v>
      </c>
      <c r="F7" s="32">
        <v>2.1000000000000001E-2</v>
      </c>
      <c r="G7" s="33">
        <v>1.05</v>
      </c>
      <c r="H7" s="30" t="s">
        <v>105</v>
      </c>
      <c r="I7" s="30" t="str">
        <f>IF(AND(F7&gt;=Premissas!B19,G7&lt;=Premissas!B17),"Validar","Ajustar/Cortar")</f>
        <v>Validar</v>
      </c>
      <c r="J7" s="34" t="s">
        <v>106</v>
      </c>
    </row>
    <row r="8" spans="1:10">
      <c r="A8" s="35" t="s">
        <v>107</v>
      </c>
      <c r="B8" s="36" t="s">
        <v>108</v>
      </c>
      <c r="C8" s="37">
        <f>Premissas!B14</f>
        <v>12.5</v>
      </c>
      <c r="D8" s="36">
        <f>Premissas!B15</f>
        <v>2</v>
      </c>
      <c r="E8" s="37">
        <f>C8*D8</f>
        <v>25</v>
      </c>
      <c r="F8" s="38">
        <v>1.2E-2</v>
      </c>
      <c r="G8" s="39">
        <v>1.7</v>
      </c>
      <c r="H8" s="36" t="s">
        <v>109</v>
      </c>
      <c r="I8" s="36" t="str">
        <f>IF(AND(F8&gt;=Premissas!B19,G8&lt;=Premissas!B17),"Validar","Ajustar/Cortar")</f>
        <v>Ajustar/Cortar</v>
      </c>
      <c r="J8" s="40" t="s">
        <v>110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"/>
  <sheetViews>
    <sheetView showGridLines="0" workbookViewId="0">
      <selection activeCell="B13" sqref="B13"/>
    </sheetView>
  </sheetViews>
  <sheetFormatPr defaultColWidth="9.125" defaultRowHeight="14.25"/>
  <cols>
    <col min="1" max="1" width="11.375" bestFit="1" customWidth="1"/>
    <col min="2" max="2" width="9.5" bestFit="1" customWidth="1"/>
    <col min="3" max="3" width="10.375" bestFit="1" customWidth="1"/>
    <col min="4" max="4" width="9.75" bestFit="1" customWidth="1"/>
    <col min="5" max="5" width="16.875" bestFit="1" customWidth="1"/>
    <col min="6" max="6" width="19.25" bestFit="1" customWidth="1"/>
    <col min="7" max="7" width="12.25" bestFit="1" customWidth="1"/>
    <col min="8" max="8" width="18.5" bestFit="1" customWidth="1"/>
  </cols>
  <sheetData>
    <row r="1" spans="1:10" ht="15">
      <c r="A1" s="51" t="s">
        <v>111</v>
      </c>
      <c r="B1" s="51" t="s">
        <v>111</v>
      </c>
      <c r="C1" s="51" t="s">
        <v>111</v>
      </c>
      <c r="D1" s="51" t="s">
        <v>111</v>
      </c>
      <c r="E1" s="51" t="s">
        <v>111</v>
      </c>
      <c r="F1" s="51" t="s">
        <v>111</v>
      </c>
      <c r="G1" s="51" t="s">
        <v>111</v>
      </c>
      <c r="H1" s="51" t="s">
        <v>111</v>
      </c>
      <c r="I1" s="50"/>
      <c r="J1" s="50"/>
    </row>
    <row r="3" spans="1:10" ht="15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72</v>
      </c>
      <c r="H3" s="1" t="s">
        <v>118</v>
      </c>
    </row>
    <row r="4" spans="1:10">
      <c r="A4" s="11" t="s">
        <v>76</v>
      </c>
      <c r="B4" s="13">
        <f>Modelo_ROAS!C4</f>
        <v>83.333333333333343</v>
      </c>
      <c r="C4" s="13">
        <f>B4*0.08</f>
        <v>6.6666666666666679</v>
      </c>
      <c r="D4" s="13">
        <f>C4*0.7</f>
        <v>4.666666666666667</v>
      </c>
      <c r="E4" s="41">
        <f>Premissas!B21</f>
        <v>0.08</v>
      </c>
      <c r="F4" s="13">
        <f>D4*E4</f>
        <v>0.37333333333333335</v>
      </c>
      <c r="G4" s="12">
        <f>Premissas!B23</f>
        <v>135.41000000000003</v>
      </c>
      <c r="H4" s="42">
        <f>F4*G4</f>
        <v>50.55306666666668</v>
      </c>
    </row>
    <row r="5" spans="1:10">
      <c r="A5" s="15" t="s">
        <v>77</v>
      </c>
      <c r="B5" s="17">
        <f>Modelo_ROAS!C5</f>
        <v>357.14285714285717</v>
      </c>
      <c r="C5" s="17">
        <f>B5*0.07</f>
        <v>25.000000000000004</v>
      </c>
      <c r="D5" s="17">
        <f>C5*0.75</f>
        <v>18.750000000000004</v>
      </c>
      <c r="E5" s="43">
        <f>0.05</f>
        <v>0.05</v>
      </c>
      <c r="F5" s="17">
        <f>D5*E5</f>
        <v>0.93750000000000022</v>
      </c>
      <c r="G5" s="16">
        <f>Premissas!B23</f>
        <v>135.41000000000003</v>
      </c>
      <c r="H5" s="44">
        <f>F5*G5</f>
        <v>126.94687500000005</v>
      </c>
    </row>
    <row r="6" spans="1:10">
      <c r="A6" s="15" t="s">
        <v>78</v>
      </c>
      <c r="B6" s="17">
        <f>Modelo_ROAS!C6</f>
        <v>869.56521739130437</v>
      </c>
      <c r="C6" s="17">
        <f>B6*0.09</f>
        <v>78.260869565217391</v>
      </c>
      <c r="D6" s="17">
        <f>C6*0.7</f>
        <v>54.782608695652172</v>
      </c>
      <c r="E6" s="43">
        <f>0.08</f>
        <v>0.08</v>
      </c>
      <c r="F6" s="17">
        <f>D6*E6</f>
        <v>4.3826086956521735</v>
      </c>
      <c r="G6" s="16">
        <f>Premissas!B23</f>
        <v>135.41000000000003</v>
      </c>
      <c r="H6" s="44">
        <f>F6*G6</f>
        <v>593.44904347826093</v>
      </c>
    </row>
    <row r="7" spans="1:10">
      <c r="A7" s="15" t="s">
        <v>79</v>
      </c>
      <c r="B7" s="17">
        <f>Modelo_ROAS!C7</f>
        <v>2631.5789473684213</v>
      </c>
      <c r="C7" s="17">
        <f>B7*0.11</f>
        <v>289.47368421052636</v>
      </c>
      <c r="D7" s="17">
        <f>C7*0.65</f>
        <v>188.15789473684214</v>
      </c>
      <c r="E7" s="43">
        <f>0.12</f>
        <v>0.12</v>
      </c>
      <c r="F7" s="17">
        <f>D7*E7</f>
        <v>22.578947368421055</v>
      </c>
      <c r="G7" s="16">
        <f>Premissas!B23</f>
        <v>135.41000000000003</v>
      </c>
      <c r="H7" s="44">
        <f>F7*G7</f>
        <v>3057.4152631578954</v>
      </c>
    </row>
    <row r="8" spans="1:10">
      <c r="A8" s="19" t="s">
        <v>119</v>
      </c>
      <c r="B8" s="21">
        <f>5000</f>
        <v>5000</v>
      </c>
      <c r="C8" s="21">
        <f>B8*0.1</f>
        <v>500</v>
      </c>
      <c r="D8" s="21">
        <f>C8*0.7</f>
        <v>350</v>
      </c>
      <c r="E8" s="45">
        <f>Premissas!B21</f>
        <v>0.08</v>
      </c>
      <c r="F8" s="21">
        <f>D8*E8</f>
        <v>28</v>
      </c>
      <c r="G8" s="20">
        <f>Premissas!B23</f>
        <v>135.41000000000003</v>
      </c>
      <c r="H8" s="46">
        <f>F8*G8</f>
        <v>3791.4800000000005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Dashboard</vt:lpstr>
      <vt:lpstr>Premissas</vt:lpstr>
      <vt:lpstr>Modelo_ROAS</vt:lpstr>
      <vt:lpstr>Teste_ABO</vt:lpstr>
      <vt:lpstr>Recuperacao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Junior</cp:lastModifiedBy>
  <dcterms:modified xsi:type="dcterms:W3CDTF">2026-05-01T02:08:26Z</dcterms:modified>
</cp:coreProperties>
</file>